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GoalSeek_Lo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9" authorId="0">
      <text>
        <r>
          <rPr>
            <sz val="10"/>
            <rFont val="Arial"/>
            <family val="2"/>
          </rPr>
          <t xml:space="preserve">Target the engineer tries to hit by changing the trial diameter.</t>
        </r>
      </text>
    </comment>
  </commentList>
</comments>
</file>

<file path=xl/sharedStrings.xml><?xml version="1.0" encoding="utf-8"?>
<sst xmlns="http://schemas.openxmlformats.org/spreadsheetml/2006/main" count="44" uniqueCount="42">
  <si>
    <t xml:space="preserve">Pipe Diameter Goal Seek - manual process being replaced</t>
  </si>
  <si>
    <t xml:space="preserve">Legend: blue cells are inputs the engineer edits. Black cells are formulas.</t>
  </si>
  <si>
    <t xml:space="preserve">Input</t>
  </si>
  <si>
    <t xml:space="preserve">Value</t>
  </si>
  <si>
    <t xml:space="preserve">Unit</t>
  </si>
  <si>
    <t xml:space="preserve">Note</t>
  </si>
  <si>
    <t xml:space="preserve">SI value</t>
  </si>
  <si>
    <t xml:space="preserve">Flow rate Q</t>
  </si>
  <si>
    <t xml:space="preserve">L/s</t>
  </si>
  <si>
    <t xml:space="preserve">Design flow</t>
  </si>
  <si>
    <t xml:space="preserve">Q (m³/s)</t>
  </si>
  <si>
    <t xml:space="preserve">Pipe length L</t>
  </si>
  <si>
    <t xml:space="preserve">m</t>
  </si>
  <si>
    <t xml:space="preserve">Straight-run length; minor losses not included</t>
  </si>
  <si>
    <t xml:space="preserve">L (m)</t>
  </si>
  <si>
    <t xml:space="preserve">Absolute roughness ε</t>
  </si>
  <si>
    <t xml:space="preserve">mm</t>
  </si>
  <si>
    <t xml:space="preserve">Commercial steel (typical handbook value)</t>
  </si>
  <si>
    <t xml:space="preserve">ε (m)</t>
  </si>
  <si>
    <t xml:space="preserve">Kinematic viscosity ν</t>
  </si>
  <si>
    <t xml:space="preserve">mm²/s</t>
  </si>
  <si>
    <t xml:space="preserve">Water at 20 °C</t>
  </si>
  <si>
    <t xml:space="preserve">ν (m²/s)</t>
  </si>
  <si>
    <t xml:space="preserve">Target head loss h_target</t>
  </si>
  <si>
    <t xml:space="preserve">Allowable friction loss</t>
  </si>
  <si>
    <t xml:space="preserve">Tolerance</t>
  </si>
  <si>
    <t xml:space="preserve">Accept when |h_f - h_target| ≤ tolerance</t>
  </si>
  <si>
    <t xml:space="preserve">Gravity g</t>
  </si>
  <si>
    <t xml:space="preserve">m/s²</t>
  </si>
  <si>
    <t xml:space="preserve">Standard gravity</t>
  </si>
  <si>
    <t xml:space="preserve">Manual goal seek: the engineer types a trial diameter, reads h_f, and adjusts</t>
  </si>
  <si>
    <t xml:space="preserve">Laminar (Re &lt; 2000): f = 64/Re. Otherwise Swamee-Jain: f = 0.25 / [log10(ε/(3.7D) + 5.74/Re^0.9)]².</t>
  </si>
  <si>
    <t xml:space="preserve">Trial</t>
  </si>
  <si>
    <t xml:space="preserve">Diameter D (mm)</t>
  </si>
  <si>
    <t xml:space="preserve">Velocity V (m/s)</t>
  </si>
  <si>
    <t xml:space="preserve">Reynolds Re</t>
  </si>
  <si>
    <t xml:space="preserve">ε/D</t>
  </si>
  <si>
    <t xml:space="preserve">Friction f</t>
  </si>
  <si>
    <t xml:space="preserve">Head loss h_f (m)</t>
  </si>
  <si>
    <t xml:space="preserve">Error |h_f - target| (m)</t>
  </si>
  <si>
    <t xml:space="preserve">Accept?</t>
  </si>
  <si>
    <t xml:space="preserve">Note: each row is one manual guess. There is no iteration limit and no record of why a guess was chosen - the Python tool automates and documents this.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</si>
</sst>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"/>
    <numFmt numFmtId="166" formatCode="#,##0"/>
    <numFmt numFmtId="167" formatCode="0.00E+00"/>
    <numFmt numFmtId="168" formatCode="0.00000"/>
    <numFmt numFmtId="169" formatCode="0.0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48"/>
    <col collapsed="false" customWidth="true" hidden="false" outlineLevel="0" max="6" min="5" style="0" width="1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F4" s="3" t="s">
        <v>6</v>
      </c>
    </row>
    <row r="5" customFormat="false" ht="15" hidden="false" customHeight="false" outlineLevel="0" collapsed="false">
      <c r="A5" s="2" t="s">
        <v>7</v>
      </c>
      <c r="B5" s="4" t="n">
        <v>50</v>
      </c>
      <c r="C5" s="2" t="s">
        <v>8</v>
      </c>
      <c r="D5" s="2" t="s">
        <v>9</v>
      </c>
      <c r="E5" s="2" t="s">
        <v>10</v>
      </c>
      <c r="F5" s="2" t="n">
        <f aca="false">B5/1000</f>
        <v>0.05</v>
      </c>
    </row>
    <row r="6" customFormat="false" ht="15" hidden="false" customHeight="false" outlineLevel="0" collapsed="false">
      <c r="A6" s="2" t="s">
        <v>11</v>
      </c>
      <c r="B6" s="4" t="n">
        <v>500</v>
      </c>
      <c r="C6" s="2" t="s">
        <v>12</v>
      </c>
      <c r="D6" s="2" t="s">
        <v>13</v>
      </c>
      <c r="E6" s="2" t="s">
        <v>14</v>
      </c>
      <c r="F6" s="2" t="n">
        <f aca="false">B6</f>
        <v>500</v>
      </c>
    </row>
    <row r="7" customFormat="false" ht="15" hidden="false" customHeight="false" outlineLevel="0" collapsed="false">
      <c r="A7" s="2" t="s">
        <v>15</v>
      </c>
      <c r="B7" s="4" t="n">
        <v>0.045</v>
      </c>
      <c r="C7" s="2" t="s">
        <v>16</v>
      </c>
      <c r="D7" s="2" t="s">
        <v>17</v>
      </c>
      <c r="E7" s="2" t="s">
        <v>18</v>
      </c>
      <c r="F7" s="2" t="n">
        <f aca="false">B7/1000</f>
        <v>4.5E-005</v>
      </c>
    </row>
    <row r="8" customFormat="false" ht="15" hidden="false" customHeight="false" outlineLevel="0" collapsed="false">
      <c r="A8" s="2" t="s">
        <v>19</v>
      </c>
      <c r="B8" s="4" t="n">
        <v>1.004</v>
      </c>
      <c r="C8" s="2" t="s">
        <v>20</v>
      </c>
      <c r="D8" s="2" t="s">
        <v>21</v>
      </c>
      <c r="E8" s="2" t="s">
        <v>22</v>
      </c>
      <c r="F8" s="2" t="n">
        <f aca="false">B8*0.000001</f>
        <v>1.004E-006</v>
      </c>
    </row>
    <row r="9" customFormat="false" ht="15" hidden="false" customHeight="false" outlineLevel="0" collapsed="false">
      <c r="A9" s="2" t="s">
        <v>23</v>
      </c>
      <c r="B9" s="5" t="n">
        <v>10</v>
      </c>
      <c r="C9" s="2" t="s">
        <v>12</v>
      </c>
      <c r="D9" s="2" t="s">
        <v>24</v>
      </c>
    </row>
    <row r="10" customFormat="false" ht="15" hidden="false" customHeight="false" outlineLevel="0" collapsed="false">
      <c r="A10" s="2" t="s">
        <v>25</v>
      </c>
      <c r="B10" s="4" t="n">
        <v>0.01</v>
      </c>
      <c r="C10" s="2" t="s">
        <v>12</v>
      </c>
      <c r="D10" s="2" t="s">
        <v>26</v>
      </c>
    </row>
    <row r="11" customFormat="false" ht="15" hidden="false" customHeight="false" outlineLevel="0" collapsed="false">
      <c r="A11" s="2" t="s">
        <v>27</v>
      </c>
      <c r="B11" s="4" t="n">
        <v>9.80665</v>
      </c>
      <c r="C11" s="2" t="s">
        <v>28</v>
      </c>
      <c r="D11" s="2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7"/>
    <col collapsed="false" customWidth="true" hidden="false" outlineLevel="0" max="8" min="8" style="0" width="22"/>
    <col collapsed="false" customWidth="true" hidden="false" outlineLevel="0" max="9" min="9" style="0" width="10"/>
  </cols>
  <sheetData>
    <row r="1" customFormat="false" ht="16.15" hidden="false" customHeight="false" outlineLevel="0" collapsed="false">
      <c r="A1" s="1" t="s">
        <v>30</v>
      </c>
    </row>
    <row r="2" customFormat="false" ht="15" hidden="false" customHeight="false" outlineLevel="0" collapsed="false">
      <c r="A2" s="2" t="s">
        <v>31</v>
      </c>
    </row>
    <row r="4" customFormat="false" ht="26.85" hidden="false" customHeight="false" outlineLevel="0" collapsed="false">
      <c r="A4" s="6" t="s">
        <v>32</v>
      </c>
      <c r="B4" s="6" t="s">
        <v>33</v>
      </c>
      <c r="C4" s="6" t="s">
        <v>34</v>
      </c>
      <c r="D4" s="6" t="s">
        <v>35</v>
      </c>
      <c r="E4" s="6" t="s">
        <v>36</v>
      </c>
      <c r="F4" s="6" t="s">
        <v>37</v>
      </c>
      <c r="G4" s="6" t="s">
        <v>38</v>
      </c>
      <c r="H4" s="6" t="s">
        <v>39</v>
      </c>
      <c r="I4" s="6" t="s">
        <v>40</v>
      </c>
    </row>
    <row r="5" customFormat="false" ht="15" hidden="false" customHeight="false" outlineLevel="0" collapsed="false">
      <c r="A5" s="2" t="n">
        <v>1</v>
      </c>
      <c r="B5" s="4" t="n">
        <v>100</v>
      </c>
      <c r="C5" s="7" t="n">
        <f aca="false">Inputs!$F$5/(PI()*(B5/1000)^2/4)</f>
        <v>6.36619772367581</v>
      </c>
      <c r="D5" s="8" t="n">
        <f aca="false">C5*(B5/1000)/Inputs!$F$8</f>
        <v>634083.438613129</v>
      </c>
      <c r="E5" s="9" t="n">
        <f aca="false">Inputs!$F$7/(B5/1000)</f>
        <v>0.00045</v>
      </c>
      <c r="F5" s="10" t="n">
        <f aca="false">IF(D5&lt;2000,64/D5,0.25/(LOG10(E5/3.7+5.74/D5^0.9))^2)</f>
        <v>0.0172519280430891</v>
      </c>
      <c r="G5" s="11" t="n">
        <f aca="false">F5*(Inputs!$F$6/(B5/1000))*C5^2/(2*Inputs!$B$11)</f>
        <v>178.244942915086</v>
      </c>
      <c r="H5" s="11" t="n">
        <f aca="false">ABS(G5-Inputs!$B$9)</f>
        <v>168.244942915086</v>
      </c>
      <c r="I5" s="2" t="str">
        <f aca="false">IF(H5&lt;=Inputs!$B$10,"Yes","No")</f>
        <v>No</v>
      </c>
    </row>
    <row r="6" customFormat="false" ht="15" hidden="false" customHeight="false" outlineLevel="0" collapsed="false">
      <c r="A6" s="2" t="n">
        <v>2</v>
      </c>
      <c r="B6" s="4" t="n">
        <v>200</v>
      </c>
      <c r="C6" s="7" t="n">
        <f aca="false">Inputs!$F$5/(PI()*(B6/1000)^2/4)</f>
        <v>1.59154943091895</v>
      </c>
      <c r="D6" s="8" t="n">
        <f aca="false">C6*(B6/1000)/Inputs!$F$8</f>
        <v>317041.719306564</v>
      </c>
      <c r="E6" s="9" t="n">
        <f aca="false">Inputs!$F$7/(B6/1000)</f>
        <v>0.000225</v>
      </c>
      <c r="F6" s="10" t="n">
        <f aca="false">IF(D6&lt;2000,64/D6,0.25/(LOG10(E6/3.7+5.74/D6^0.9))^2)</f>
        <v>0.0164124635204888</v>
      </c>
      <c r="G6" s="11" t="n">
        <f aca="false">F6*(Inputs!$F$6/(B6/1000))*C6^2/(2*Inputs!$B$11)</f>
        <v>5.29911536553834</v>
      </c>
      <c r="H6" s="11" t="n">
        <f aca="false">ABS(G6-Inputs!$B$9)</f>
        <v>4.70088463446166</v>
      </c>
      <c r="I6" s="2" t="str">
        <f aca="false">IF(H6&lt;=Inputs!$B$10,"Yes","No")</f>
        <v>No</v>
      </c>
    </row>
    <row r="7" customFormat="false" ht="15" hidden="false" customHeight="false" outlineLevel="0" collapsed="false">
      <c r="A7" s="2" t="n">
        <v>3</v>
      </c>
      <c r="B7" s="4" t="n">
        <v>150</v>
      </c>
      <c r="C7" s="7" t="n">
        <f aca="false">Inputs!$F$5/(PI()*(B7/1000)^2/4)</f>
        <v>2.82942121052258</v>
      </c>
      <c r="D7" s="8" t="n">
        <f aca="false">C7*(B7/1000)/Inputs!$F$8</f>
        <v>422722.292408753</v>
      </c>
      <c r="E7" s="9" t="n">
        <f aca="false">Inputs!$F$7/(B7/1000)</f>
        <v>0.0003</v>
      </c>
      <c r="F7" s="10" t="n">
        <f aca="false">IF(D7&lt;2000,64/D7,0.25/(LOG10(E7/3.7+5.74/D7^0.9))^2)</f>
        <v>0.0165740059292466</v>
      </c>
      <c r="G7" s="11" t="n">
        <f aca="false">F7*(Inputs!$F$6/(B7/1000))*C7^2/(2*Inputs!$B$11)</f>
        <v>22.5502195024269</v>
      </c>
      <c r="H7" s="11" t="n">
        <f aca="false">ABS(G7-Inputs!$B$9)</f>
        <v>12.5502195024269</v>
      </c>
      <c r="I7" s="2" t="str">
        <f aca="false">IF(H7&lt;=Inputs!$B$10,"Yes","No")</f>
        <v>No</v>
      </c>
    </row>
    <row r="8" customFormat="false" ht="15" hidden="false" customHeight="false" outlineLevel="0" collapsed="false">
      <c r="A8" s="2" t="n">
        <v>4</v>
      </c>
      <c r="B8" s="4" t="n">
        <v>175</v>
      </c>
      <c r="C8" s="7" t="n">
        <f aca="false">Inputs!$F$5/(PI()*(B8/1000)^2/4)</f>
        <v>2.07875844038394</v>
      </c>
      <c r="D8" s="8" t="n">
        <f aca="false">C8*(B8/1000)/Inputs!$F$8</f>
        <v>362333.393493217</v>
      </c>
      <c r="E8" s="9" t="n">
        <f aca="false">Inputs!$F$7/(B8/1000)</f>
        <v>0.000257142857142857</v>
      </c>
      <c r="F8" s="10" t="n">
        <f aca="false">IF(D8&lt;2000,64/D8,0.25/(LOG10(E8/3.7+5.74/D8^0.9))^2)</f>
        <v>0.0164535237139179</v>
      </c>
      <c r="G8" s="11" t="n">
        <f aca="false">F8*(Inputs!$F$6/(B8/1000))*C8^2/(2*Inputs!$B$11)</f>
        <v>10.357340573019</v>
      </c>
      <c r="H8" s="11" t="n">
        <f aca="false">ABS(G8-Inputs!$B$9)</f>
        <v>0.357340573019043</v>
      </c>
      <c r="I8" s="2" t="str">
        <f aca="false">IF(H8&lt;=Inputs!$B$10,"Yes","No")</f>
        <v>No</v>
      </c>
    </row>
    <row r="9" customFormat="false" ht="15" hidden="false" customHeight="false" outlineLevel="0" collapsed="false">
      <c r="A9" s="2" t="n">
        <v>5</v>
      </c>
      <c r="B9" s="4" t="n">
        <v>180</v>
      </c>
      <c r="C9" s="7" t="n">
        <f aca="false">Inputs!$F$5/(PI()*(B9/1000)^2/4)</f>
        <v>1.96487584064068</v>
      </c>
      <c r="D9" s="8" t="n">
        <f aca="false">C9*(B9/1000)/Inputs!$F$8</f>
        <v>352268.577007294</v>
      </c>
      <c r="E9" s="9" t="n">
        <f aca="false">Inputs!$F$7/(B9/1000)</f>
        <v>0.00025</v>
      </c>
      <c r="F9" s="10" t="n">
        <f aca="false">IF(D9&lt;2000,64/D9,0.25/(LOG10(E9/3.7+5.74/D9^0.9))^2)</f>
        <v>0.0164399579112194</v>
      </c>
      <c r="G9" s="11" t="n">
        <f aca="false">F9*(Inputs!$F$6/(B9/1000))*C9^2/(2*Inputs!$B$11)</f>
        <v>8.98913193865023</v>
      </c>
      <c r="H9" s="11" t="n">
        <f aca="false">ABS(G9-Inputs!$B$9)</f>
        <v>1.01086806134977</v>
      </c>
      <c r="I9" s="2" t="str">
        <f aca="false">IF(H9&lt;=Inputs!$B$10,"Yes","No")</f>
        <v>No</v>
      </c>
    </row>
    <row r="10" customFormat="false" ht="15" hidden="false" customHeight="false" outlineLevel="0" collapsed="false">
      <c r="A10" s="2" t="n">
        <v>6</v>
      </c>
      <c r="B10" s="4" t="n">
        <v>177</v>
      </c>
      <c r="C10" s="7" t="n">
        <f aca="false">Inputs!$F$5/(PI()*(B10/1000)^2/4)</f>
        <v>2.03204625863443</v>
      </c>
      <c r="D10" s="8" t="n">
        <f aca="false">C10*(B10/1000)/Inputs!$F$8</f>
        <v>358239.230854875</v>
      </c>
      <c r="E10" s="9" t="n">
        <f aca="false">Inputs!$F$7/(B10/1000)</f>
        <v>0.000254237288135593</v>
      </c>
      <c r="F10" s="10" t="n">
        <f aca="false">IF(D10&lt;2000,64/D10,0.25/(LOG10(E10/3.7+5.74/D10^0.9))^2)</f>
        <v>0.0164477359833852</v>
      </c>
      <c r="G10" s="11" t="n">
        <f aca="false">F10*(Inputs!$F$6/(B10/1000))*C10^2/(2*Inputs!$B$11)</f>
        <v>9.78181338868796</v>
      </c>
      <c r="H10" s="11" t="n">
        <f aca="false">ABS(G10-Inputs!$B$9)</f>
        <v>0.218186611312044</v>
      </c>
      <c r="I10" s="2" t="str">
        <f aca="false">IF(H10&lt;=Inputs!$B$10,"Yes","No")</f>
        <v>No</v>
      </c>
    </row>
    <row r="11" customFormat="false" ht="15" hidden="false" customHeight="false" outlineLevel="0" collapsed="false">
      <c r="A11" s="2" t="n">
        <v>7</v>
      </c>
      <c r="B11" s="4" t="n">
        <v>176.5</v>
      </c>
      <c r="C11" s="7" t="n">
        <f aca="false">Inputs!$F$5/(PI()*(B11/1000)^2/4)</f>
        <v>2.04357557597792</v>
      </c>
      <c r="D11" s="8" t="n">
        <f aca="false">C11*(B11/1000)/Inputs!$F$8</f>
        <v>359254.072868628</v>
      </c>
      <c r="E11" s="9" t="n">
        <f aca="false">Inputs!$F$7/(B11/1000)</f>
        <v>0.000254957507082153</v>
      </c>
      <c r="F11" s="10" t="n">
        <f aca="false">IF(D11&lt;2000,64/D11,0.25/(LOG10(E11/3.7+5.74/D11^0.9))^2)</f>
        <v>0.0164491368910194</v>
      </c>
      <c r="G11" s="11" t="n">
        <f aca="false">F11*(Inputs!$F$6/(B11/1000))*C11^2/(2*Inputs!$B$11)</f>
        <v>9.92199823093125</v>
      </c>
      <c r="H11" s="11" t="n">
        <f aca="false">ABS(G11-Inputs!$B$9)</f>
        <v>0.0780017690687487</v>
      </c>
      <c r="I11" s="2" t="str">
        <f aca="false">IF(H11&lt;=Inputs!$B$10,"Yes","No")</f>
        <v>No</v>
      </c>
    </row>
    <row r="12" customFormat="false" ht="15" hidden="false" customHeight="false" outlineLevel="0" collapsed="false">
      <c r="A12" s="2" t="n">
        <v>8</v>
      </c>
      <c r="B12" s="4" t="n">
        <v>176.2</v>
      </c>
      <c r="C12" s="7" t="n">
        <f aca="false">Inputs!$F$5/(PI()*(B12/1000)^2/4)</f>
        <v>2.05054032722458</v>
      </c>
      <c r="D12" s="8" t="n">
        <f aca="false">C12*(B12/1000)/Inputs!$F$8</f>
        <v>359865.742686225</v>
      </c>
      <c r="E12" s="9" t="n">
        <f aca="false">Inputs!$F$7/(B12/1000)</f>
        <v>0.00025539160045403</v>
      </c>
      <c r="F12" s="10" t="n">
        <f aca="false">IF(D12&lt;2000,64/D12,0.25/(LOG10(E12/3.7+5.74/D12^0.9))^2)</f>
        <v>0.016449992068809</v>
      </c>
      <c r="G12" s="11" t="n">
        <f aca="false">F12*(Inputs!$F$6/(B12/1000))*C12^2/(2*Inputs!$B$11)</f>
        <v>10.0072730917288</v>
      </c>
      <c r="H12" s="11" t="n">
        <f aca="false">ABS(G12-Inputs!$B$9)</f>
        <v>0.00727309172884816</v>
      </c>
      <c r="I12" s="2" t="str">
        <f aca="false">IF(H12&lt;=Inputs!$B$10,"Yes","No")</f>
        <v>Yes</v>
      </c>
    </row>
    <row r="14" customFormat="false" ht="15" hidden="false" customHeight="false" outlineLevel="0" collapsed="false">
      <c r="A14" s="2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2026-09-27T00:14:07Z</dcterms:created>
  <dc:creator>openpyxl</dc:creator>
  <dc:description/>
  <dc:language>en-US</dc:language>
  <cp:lastModifiedBy/>
  <dcterms:modified xsi:type="dcterms:W3CDTF">2026-09-27T00:14:07Z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